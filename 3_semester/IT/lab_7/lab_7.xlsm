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1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Projects\SUAI_homework\3_semester\IT\lab_7\"/>
    </mc:Choice>
  </mc:AlternateContent>
  <xr:revisionPtr revIDLastSave="0" documentId="13_ncr:1_{DF371915-3340-49F3-ADB0-982D927703D1}" xr6:coauthVersionLast="36" xr6:coauthVersionMax="36" xr10:uidLastSave="{00000000-0000-0000-0000-000000000000}"/>
  <bookViews>
    <workbookView xWindow="0" yWindow="0" windowWidth="13845" windowHeight="12795" xr2:uid="{7ADDC1FA-F771-4328-938A-4437BC739656}"/>
  </bookViews>
  <sheets>
    <sheet name="Сведения о сотрудниках" sheetId="1" r:id="rId1"/>
    <sheet name="Премиальные баллы" sheetId="2" r:id="rId2"/>
    <sheet name="Штрафные баллы" sheetId="3" r:id="rId3"/>
    <sheet name="Расчёт премии" sheetId="4" r:id="rId4"/>
    <sheet name="Поиск информации" sheetId="5" r:id="rId5"/>
    <sheet name="Генерация Отчета" sheetId="7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4" i="5" l="1"/>
  <c r="D4" i="5"/>
  <c r="C4" i="5"/>
  <c r="A4" i="5"/>
  <c r="C10" i="5" l="1"/>
  <c r="B10" i="5"/>
  <c r="A10" i="5"/>
  <c r="B7" i="5"/>
  <c r="A7" i="5"/>
  <c r="C3" i="1"/>
  <c r="C4" i="1"/>
  <c r="B4" i="5" s="1"/>
  <c r="C5" i="1"/>
  <c r="C6" i="1"/>
  <c r="C7" i="1"/>
  <c r="C8" i="1"/>
  <c r="C9" i="1"/>
  <c r="C10" i="1"/>
  <c r="C11" i="1"/>
  <c r="C2" i="1"/>
  <c r="E2" i="3" l="1"/>
  <c r="E4" i="3"/>
  <c r="D10" i="5" s="1"/>
  <c r="E9" i="3"/>
  <c r="E3" i="3"/>
  <c r="E5" i="3"/>
  <c r="E8" i="3"/>
  <c r="E7" i="3"/>
  <c r="E6" i="3"/>
  <c r="C14" i="4"/>
  <c r="B10" i="4" s="1"/>
  <c r="E3" i="2"/>
  <c r="E5" i="2"/>
  <c r="E6" i="2"/>
  <c r="E7" i="2"/>
  <c r="E8" i="2"/>
  <c r="E2" i="2"/>
  <c r="A3" i="2"/>
  <c r="A4" i="2"/>
  <c r="A5" i="2"/>
  <c r="A6" i="2"/>
  <c r="A7" i="2"/>
  <c r="A8" i="2"/>
  <c r="A9" i="2"/>
  <c r="A10" i="2"/>
  <c r="A11" i="2"/>
  <c r="A2" i="2"/>
  <c r="A2" i="3" s="1"/>
  <c r="E4" i="2" l="1"/>
  <c r="D7" i="5" s="1"/>
  <c r="C7" i="5"/>
  <c r="A5" i="3"/>
  <c r="A5" i="4"/>
  <c r="A6" i="3"/>
  <c r="A6" i="4"/>
  <c r="A7" i="3"/>
  <c r="A7" i="4"/>
  <c r="A4" i="3"/>
  <c r="A4" i="4"/>
  <c r="A11" i="3"/>
  <c r="A11" i="4"/>
  <c r="A3" i="3"/>
  <c r="A3" i="4"/>
  <c r="A10" i="3"/>
  <c r="A10" i="4"/>
  <c r="A9" i="3"/>
  <c r="A9" i="4"/>
  <c r="A8" i="3"/>
  <c r="A8" i="4"/>
  <c r="B8" i="4"/>
  <c r="B9" i="4"/>
  <c r="B11" i="4"/>
  <c r="B3" i="4"/>
  <c r="B4" i="4"/>
  <c r="B6" i="4"/>
  <c r="B5" i="4"/>
  <c r="B7" i="4"/>
  <c r="C3" i="4"/>
  <c r="C5" i="4"/>
  <c r="E10" i="2"/>
  <c r="C11" i="4" s="1"/>
  <c r="E9" i="2"/>
  <c r="C7" i="4"/>
  <c r="C9" i="4"/>
  <c r="E11" i="2"/>
  <c r="C8" i="4"/>
  <c r="D5" i="4"/>
  <c r="E10" i="3"/>
  <c r="D11" i="4" s="1"/>
  <c r="D7" i="4"/>
  <c r="E11" i="3"/>
  <c r="D8" i="4"/>
  <c r="D10" i="4"/>
  <c r="D6" i="4"/>
  <c r="D3" i="4"/>
  <c r="D9" i="4" l="1"/>
  <c r="E9" i="4" s="1"/>
  <c r="C10" i="4"/>
  <c r="E10" i="4" s="1"/>
  <c r="C6" i="4"/>
  <c r="E6" i="4" s="1"/>
  <c r="D4" i="4"/>
  <c r="C14" i="5" s="1"/>
  <c r="C4" i="4"/>
  <c r="B14" i="5" s="1"/>
  <c r="E7" i="4"/>
  <c r="E11" i="4"/>
  <c r="E8" i="4"/>
  <c r="E5" i="4"/>
  <c r="E3" i="4"/>
  <c r="E4" i="4" l="1"/>
  <c r="E12" i="4" l="1"/>
  <c r="F9" i="4" s="1"/>
  <c r="D14" i="5"/>
  <c r="F11" i="4" l="1"/>
  <c r="F5" i="4"/>
  <c r="F8" i="4"/>
  <c r="F3" i="4"/>
  <c r="F4" i="4"/>
  <c r="E14" i="5" s="1"/>
  <c r="F6" i="4"/>
  <c r="F7" i="4"/>
  <c r="F10" i="4"/>
  <c r="F12" i="4" l="1"/>
</calcChain>
</file>

<file path=xl/sharedStrings.xml><?xml version="1.0" encoding="utf-8"?>
<sst xmlns="http://schemas.openxmlformats.org/spreadsheetml/2006/main" count="80" uniqueCount="48">
  <si>
    <t>ФИО</t>
  </si>
  <si>
    <t>Должность</t>
  </si>
  <si>
    <t>Зарплата</t>
  </si>
  <si>
    <t>Стаж</t>
  </si>
  <si>
    <t>Благодароность клиентов</t>
  </si>
  <si>
    <t>Внеурочные работы</t>
  </si>
  <si>
    <t>Перевыполнение плана</t>
  </si>
  <si>
    <t>Итого</t>
  </si>
  <si>
    <t>Опоздание</t>
  </si>
  <si>
    <t>Прогул</t>
  </si>
  <si>
    <t>Курение</t>
  </si>
  <si>
    <t>Дата приема на работу</t>
  </si>
  <si>
    <t>Премия за стаж</t>
  </si>
  <si>
    <t>Плата за премиальный балл</t>
  </si>
  <si>
    <t>Плата за штрафной балл</t>
  </si>
  <si>
    <t>Смета</t>
  </si>
  <si>
    <t>Премия по баллам</t>
  </si>
  <si>
    <t>Штраф за баллы</t>
  </si>
  <si>
    <t>Итоговая премия</t>
  </si>
  <si>
    <t>без сметы</t>
  </si>
  <si>
    <t>с учетом сметы</t>
  </si>
  <si>
    <t>Плата за год стажа</t>
  </si>
  <si>
    <t>Средняя ЗП</t>
  </si>
  <si>
    <t>Фамилия</t>
  </si>
  <si>
    <t>Балл</t>
  </si>
  <si>
    <t>Фио</t>
  </si>
  <si>
    <t>Максиальные премиальные</t>
  </si>
  <si>
    <t>Максимальные штрафные</t>
  </si>
  <si>
    <t>Уборщик</t>
  </si>
  <si>
    <t>Сантехник</t>
  </si>
  <si>
    <t>Юрист</t>
  </si>
  <si>
    <t>Кассир</t>
  </si>
  <si>
    <t>Консультант</t>
  </si>
  <si>
    <t>Инженер</t>
  </si>
  <si>
    <t>Электрик</t>
  </si>
  <si>
    <t>Трубочист</t>
  </si>
  <si>
    <t>Врач</t>
  </si>
  <si>
    <t>Водитель</t>
  </si>
  <si>
    <t>Федров</t>
  </si>
  <si>
    <t>Игоров</t>
  </si>
  <si>
    <t>Жукин</t>
  </si>
  <si>
    <t>Иванов</t>
  </si>
  <si>
    <t>Карпов</t>
  </si>
  <si>
    <t>Осетров</t>
  </si>
  <si>
    <t>Крутов</t>
  </si>
  <si>
    <t>Воробьев</t>
  </si>
  <si>
    <t>Ершов</t>
  </si>
  <si>
    <t>Угров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</si>
</sst>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\ _₽_-;\-* #,##0.00\ _₽_-;_-* &quot;-&quot;??\ _₽_-;_-@_-"/>
  </numFmts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/>
    <xf numFmtId="2" fontId="0" fillId="0" borderId="0" xfId="0" applyNumberFormat="1"/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2" borderId="1" xfId="0" applyFill="1" applyBorder="1"/>
    <xf numFmtId="0" fontId="0" fillId="2" borderId="3" xfId="0" applyFill="1" applyBorder="1"/>
    <xf numFmtId="0" fontId="0" fillId="2" borderId="4" xfId="0" applyFill="1" applyBorder="1"/>
    <xf numFmtId="0" fontId="0" fillId="0" borderId="5" xfId="0" applyBorder="1"/>
    <xf numFmtId="0" fontId="0" fillId="0" borderId="6" xfId="0" applyBorder="1"/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2" borderId="5" xfId="0" applyFill="1" applyBorder="1"/>
    <xf numFmtId="0" fontId="0" fillId="2" borderId="6" xfId="0" applyFill="1" applyBorder="1"/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center"/>
      <protection locked="0"/>
    </xf>
    <xf numFmtId="0" fontId="0" fillId="2" borderId="7" xfId="0" applyFill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2" borderId="6" xfId="0" applyFill="1" applyBorder="1" applyAlignment="1">
      <alignment horizontal="left"/>
    </xf>
    <xf numFmtId="2" fontId="0" fillId="0" borderId="22" xfId="0" applyNumberFormat="1" applyBorder="1" applyAlignment="1">
      <alignment horizontal="center"/>
    </xf>
    <xf numFmtId="0" fontId="0" fillId="0" borderId="22" xfId="0" applyBorder="1" applyAlignment="1">
      <alignment horizontal="center"/>
    </xf>
    <xf numFmtId="2" fontId="0" fillId="0" borderId="22" xfId="1" applyNumberFormat="1" applyFont="1" applyBorder="1" applyAlignment="1">
      <alignment horizontal="center"/>
    </xf>
    <xf numFmtId="0" fontId="0" fillId="0" borderId="23" xfId="0" applyBorder="1" applyAlignment="1">
      <alignment horizontal="center"/>
    </xf>
    <xf numFmtId="2" fontId="0" fillId="0" borderId="6" xfId="0" applyNumberFormat="1" applyBorder="1" applyAlignment="1">
      <alignment horizontal="center"/>
    </xf>
    <xf numFmtId="2" fontId="0" fillId="0" borderId="6" xfId="1" applyNumberFormat="1" applyFont="1" applyBorder="1" applyAlignment="1">
      <alignment horizontal="center"/>
    </xf>
    <xf numFmtId="2" fontId="0" fillId="0" borderId="24" xfId="1" applyNumberFormat="1" applyFont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2" xfId="0" applyFill="1" applyBorder="1" applyAlignment="1" applyProtection="1">
      <alignment horizontal="center"/>
      <protection locked="0"/>
    </xf>
    <xf numFmtId="0" fontId="2" fillId="2" borderId="22" xfId="0" applyFont="1" applyFill="1" applyBorder="1" applyAlignment="1">
      <alignment horizontal="right"/>
    </xf>
    <xf numFmtId="0" fontId="0" fillId="2" borderId="6" xfId="0" applyFill="1" applyBorder="1" applyAlignment="1">
      <alignment horizontal="center"/>
    </xf>
    <xf numFmtId="14" fontId="0" fillId="0" borderId="6" xfId="0" applyNumberFormat="1" applyBorder="1" applyAlignment="1">
      <alignment horizontal="center"/>
    </xf>
    <xf numFmtId="2" fontId="2" fillId="0" borderId="6" xfId="0" applyNumberFormat="1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21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0" fillId="2" borderId="25" xfId="0" applyFill="1" applyBorder="1" applyAlignment="1" applyProtection="1">
      <alignment horizontal="center" vertical="center"/>
      <protection locked="0"/>
    </xf>
    <xf numFmtId="0" fontId="0" fillId="2" borderId="18" xfId="0" applyFill="1" applyBorder="1" applyAlignment="1" applyProtection="1">
      <alignment horizontal="center" vertical="center"/>
      <protection locked="0"/>
    </xf>
    <xf numFmtId="0" fontId="0" fillId="2" borderId="22" xfId="0" applyFill="1" applyBorder="1" applyAlignment="1">
      <alignment horizontal="center" vertical="center"/>
    </xf>
    <xf numFmtId="0" fontId="0" fillId="2" borderId="22" xfId="0" applyFill="1" applyBorder="1" applyAlignment="1" applyProtection="1">
      <alignment horizontal="center" vertical="center"/>
      <protection locked="0"/>
    </xf>
    <xf numFmtId="0" fontId="0" fillId="2" borderId="20" xfId="0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center"/>
    </xf>
    <xf numFmtId="49" fontId="0" fillId="0" borderId="2" xfId="0" applyNumberFormat="1" applyBorder="1"/>
    <xf numFmtId="0" fontId="0" fillId="2" borderId="26" xfId="0" applyFill="1" applyBorder="1" applyAlignment="1">
      <alignment horizontal="center"/>
    </xf>
    <xf numFmtId="0" fontId="0" fillId="2" borderId="27" xfId="0" applyFill="1" applyBorder="1" applyAlignment="1">
      <alignment horizontal="center"/>
    </xf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Сравнения</a:t>
            </a:r>
            <a:r>
              <a:rPr lang="ru-RU" baseline="0"/>
              <a:t> стажа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'Сведения о сотрудниках'!$E$1</c:f>
              <c:strCache>
                <c:ptCount val="1"/>
                <c:pt idx="0">
                  <c:v>Стаж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'Сведения о сотрудниках'!$A$2:$A$11</c:f>
              <c:strCache>
                <c:ptCount val="10"/>
                <c:pt idx="0">
                  <c:v>Федров</c:v>
                </c:pt>
                <c:pt idx="1">
                  <c:v>Игоров</c:v>
                </c:pt>
                <c:pt idx="2">
                  <c:v>Жукин</c:v>
                </c:pt>
                <c:pt idx="3">
                  <c:v>Иванов</c:v>
                </c:pt>
                <c:pt idx="4">
                  <c:v>Карпов</c:v>
                </c:pt>
                <c:pt idx="5">
                  <c:v>Осетров</c:v>
                </c:pt>
                <c:pt idx="6">
                  <c:v>Крутов</c:v>
                </c:pt>
                <c:pt idx="7">
                  <c:v>Воробьев</c:v>
                </c:pt>
                <c:pt idx="8">
                  <c:v>Угров</c:v>
                </c:pt>
                <c:pt idx="9">
                  <c:v>Ершов</c:v>
                </c:pt>
              </c:strCache>
            </c:strRef>
          </c:cat>
          <c:val>
            <c:numRef>
              <c:f>'Сведения о сотрудниках'!$E$2:$E$11</c:f>
              <c:numCache>
                <c:formatCode>General</c:formatCode>
                <c:ptCount val="10"/>
                <c:pt idx="0">
                  <c:v>12</c:v>
                </c:pt>
                <c:pt idx="1">
                  <c:v>20</c:v>
                </c:pt>
                <c:pt idx="2">
                  <c:v>3</c:v>
                </c:pt>
                <c:pt idx="3">
                  <c:v>1</c:v>
                </c:pt>
                <c:pt idx="4">
                  <c:v>5</c:v>
                </c:pt>
                <c:pt idx="5">
                  <c:v>12</c:v>
                </c:pt>
                <c:pt idx="6">
                  <c:v>1</c:v>
                </c:pt>
                <c:pt idx="7">
                  <c:v>25</c:v>
                </c:pt>
                <c:pt idx="8">
                  <c:v>1</c:v>
                </c:pt>
                <c:pt idx="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AF-4AED-8DCD-E96AEA2ED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34228607"/>
        <c:axId val="1420781727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'Сведения о сотрудниках'!$D$1</c15:sqref>
                        </c15:formulaRef>
                      </c:ext>
                    </c:extLst>
                    <c:strCache>
                      <c:ptCount val="1"/>
                      <c:pt idx="0">
                        <c:v>Зарплата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'Сведения о сотрудниках'!$A$2:$A$11</c15:sqref>
                        </c15:formulaRef>
                      </c:ext>
                    </c:extLst>
                    <c:strCache>
                      <c:ptCount val="10"/>
                      <c:pt idx="0">
                        <c:v>Федров</c:v>
                      </c:pt>
                      <c:pt idx="1">
                        <c:v>Игоров</c:v>
                      </c:pt>
                      <c:pt idx="2">
                        <c:v>Жукин</c:v>
                      </c:pt>
                      <c:pt idx="3">
                        <c:v>Иванов</c:v>
                      </c:pt>
                      <c:pt idx="4">
                        <c:v>Карпов</c:v>
                      </c:pt>
                      <c:pt idx="5">
                        <c:v>Осетров</c:v>
                      </c:pt>
                      <c:pt idx="6">
                        <c:v>Крутов</c:v>
                      </c:pt>
                      <c:pt idx="7">
                        <c:v>Воробьев</c:v>
                      </c:pt>
                      <c:pt idx="8">
                        <c:v>Угров</c:v>
                      </c:pt>
                      <c:pt idx="9">
                        <c:v>Ершов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'Сведения о сотрудниках'!$D$2:$D$11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25000</c:v>
                      </c:pt>
                      <c:pt idx="1">
                        <c:v>30000</c:v>
                      </c:pt>
                      <c:pt idx="2">
                        <c:v>50000</c:v>
                      </c:pt>
                      <c:pt idx="3">
                        <c:v>30000</c:v>
                      </c:pt>
                      <c:pt idx="4">
                        <c:v>35000</c:v>
                      </c:pt>
                      <c:pt idx="5">
                        <c:v>65000</c:v>
                      </c:pt>
                      <c:pt idx="6">
                        <c:v>35000</c:v>
                      </c:pt>
                      <c:pt idx="7">
                        <c:v>80000</c:v>
                      </c:pt>
                      <c:pt idx="8">
                        <c:v>50000</c:v>
                      </c:pt>
                      <c:pt idx="9">
                        <c:v>50000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9EAF-4AED-8DCD-E96AEA2ED79E}"/>
                  </c:ext>
                </c:extLst>
              </c15:ser>
            </c15:filteredBarSeries>
          </c:ext>
        </c:extLst>
      </c:barChart>
      <c:catAx>
        <c:axId val="1434228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20781727"/>
        <c:crosses val="autoZero"/>
        <c:auto val="1"/>
        <c:lblAlgn val="ctr"/>
        <c:lblOffset val="100"/>
        <c:noMultiLvlLbl val="0"/>
      </c:catAx>
      <c:valAx>
        <c:axId val="1420781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342286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90487</xdr:colOff>
      <xdr:row>12</xdr:row>
      <xdr:rowOff>52387</xdr:rowOff>
    </xdr:from>
    <xdr:to>
      <xdr:col>6</xdr:col>
      <xdr:colOff>100012</xdr:colOff>
      <xdr:row>26</xdr:row>
      <xdr:rowOff>128587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8C5D948E-F064-4389-8A9D-A5523C710D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35C5B-58E4-4422-A7E3-55725B5581CA}">
  <sheetPr codeName="Лист1"/>
  <dimension ref="A1:E11"/>
  <sheetViews>
    <sheetView tabSelected="1" workbookViewId="0">
      <selection activeCell="J17" sqref="J17"/>
    </sheetView>
  </sheetViews>
  <sheetFormatPr defaultRowHeight="15" x14ac:dyDescent="0.25"/>
  <cols>
    <col min="1" max="1" width="9.85546875" bestFit="1" customWidth="1"/>
    <col min="2" max="2" width="12.28515625" bestFit="1" customWidth="1"/>
    <col min="3" max="3" width="22.42578125" bestFit="1" customWidth="1"/>
    <col min="4" max="4" width="9.28515625" bestFit="1" customWidth="1"/>
    <col min="5" max="5" width="5.42578125" bestFit="1" customWidth="1"/>
  </cols>
  <sheetData>
    <row r="1" spans="1:5" x14ac:dyDescent="0.25">
      <c r="A1" s="43" t="s">
        <v>0</v>
      </c>
      <c r="B1" s="43" t="s">
        <v>1</v>
      </c>
      <c r="C1" s="43" t="s">
        <v>11</v>
      </c>
      <c r="D1" s="43" t="s">
        <v>2</v>
      </c>
      <c r="E1" s="43" t="s">
        <v>3</v>
      </c>
    </row>
    <row r="2" spans="1:5" x14ac:dyDescent="0.25">
      <c r="A2" s="60" t="s">
        <v>38</v>
      </c>
      <c r="B2" s="25" t="s">
        <v>28</v>
      </c>
      <c r="C2" s="44">
        <f ca="1">DATE(RANDBETWEEN(2018,2022),RANDBETWEEN(1,12),RANDBETWEEN(1,29))</f>
        <v>44710</v>
      </c>
      <c r="D2" s="25">
        <v>25000</v>
      </c>
      <c r="E2" s="25">
        <v>12</v>
      </c>
    </row>
    <row r="3" spans="1:5" x14ac:dyDescent="0.25">
      <c r="A3" s="60" t="s">
        <v>39</v>
      </c>
      <c r="B3" s="25" t="s">
        <v>29</v>
      </c>
      <c r="C3" s="44">
        <f t="shared" ref="C3:C11" ca="1" si="0">DATE(RANDBETWEEN(2018,2022),RANDBETWEEN(1,12),RANDBETWEEN(1,29))</f>
        <v>44899</v>
      </c>
      <c r="D3" s="25">
        <v>30000</v>
      </c>
      <c r="E3" s="25">
        <v>20</v>
      </c>
    </row>
    <row r="4" spans="1:5" x14ac:dyDescent="0.25">
      <c r="A4" s="60" t="s">
        <v>40</v>
      </c>
      <c r="B4" s="25" t="s">
        <v>30</v>
      </c>
      <c r="C4" s="44">
        <f t="shared" ca="1" si="0"/>
        <v>43446</v>
      </c>
      <c r="D4" s="25">
        <v>50000</v>
      </c>
      <c r="E4" s="25">
        <v>3</v>
      </c>
    </row>
    <row r="5" spans="1:5" x14ac:dyDescent="0.25">
      <c r="A5" s="60" t="s">
        <v>41</v>
      </c>
      <c r="B5" s="25" t="s">
        <v>31</v>
      </c>
      <c r="C5" s="44">
        <f t="shared" ca="1" si="0"/>
        <v>44892</v>
      </c>
      <c r="D5" s="25">
        <v>30000</v>
      </c>
      <c r="E5" s="25">
        <v>1</v>
      </c>
    </row>
    <row r="6" spans="1:5" x14ac:dyDescent="0.25">
      <c r="A6" s="60" t="s">
        <v>42</v>
      </c>
      <c r="B6" s="25" t="s">
        <v>32</v>
      </c>
      <c r="C6" s="44">
        <f t="shared" ca="1" si="0"/>
        <v>44641</v>
      </c>
      <c r="D6" s="25">
        <v>35000</v>
      </c>
      <c r="E6" s="25">
        <v>5</v>
      </c>
    </row>
    <row r="7" spans="1:5" x14ac:dyDescent="0.25">
      <c r="A7" s="60" t="s">
        <v>43</v>
      </c>
      <c r="B7" s="25" t="s">
        <v>33</v>
      </c>
      <c r="C7" s="44">
        <f t="shared" ca="1" si="0"/>
        <v>44174</v>
      </c>
      <c r="D7" s="25">
        <v>65000</v>
      </c>
      <c r="E7" s="25">
        <v>12</v>
      </c>
    </row>
    <row r="8" spans="1:5" x14ac:dyDescent="0.25">
      <c r="A8" s="60" t="s">
        <v>44</v>
      </c>
      <c r="B8" s="25" t="s">
        <v>34</v>
      </c>
      <c r="C8" s="44">
        <f t="shared" ca="1" si="0"/>
        <v>43201</v>
      </c>
      <c r="D8" s="25">
        <v>35000</v>
      </c>
      <c r="E8" s="25">
        <v>1</v>
      </c>
    </row>
    <row r="9" spans="1:5" x14ac:dyDescent="0.25">
      <c r="A9" s="60" t="s">
        <v>45</v>
      </c>
      <c r="B9" s="25" t="s">
        <v>35</v>
      </c>
      <c r="C9" s="44">
        <f t="shared" ca="1" si="0"/>
        <v>43462</v>
      </c>
      <c r="D9" s="25">
        <v>80000</v>
      </c>
      <c r="E9" s="25">
        <v>25</v>
      </c>
    </row>
    <row r="10" spans="1:5" x14ac:dyDescent="0.25">
      <c r="A10" s="60" t="s">
        <v>47</v>
      </c>
      <c r="B10" s="25" t="s">
        <v>36</v>
      </c>
      <c r="C10" s="44">
        <f t="shared" ca="1" si="0"/>
        <v>43184</v>
      </c>
      <c r="D10" s="25">
        <v>50000</v>
      </c>
      <c r="E10" s="25">
        <v>1</v>
      </c>
    </row>
    <row r="11" spans="1:5" x14ac:dyDescent="0.25">
      <c r="A11" s="60" t="s">
        <v>46</v>
      </c>
      <c r="B11" s="25" t="s">
        <v>37</v>
      </c>
      <c r="C11" s="44">
        <f t="shared" ca="1" si="0"/>
        <v>43290</v>
      </c>
      <c r="D11" s="25">
        <v>50000</v>
      </c>
      <c r="E11" s="25">
        <v>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D5C5A-BB42-4D59-8796-A0D661CD85E3}">
  <sheetPr codeName="Лист2"/>
  <dimension ref="A1:E11"/>
  <sheetViews>
    <sheetView topLeftCell="A7" workbookViewId="0">
      <selection activeCell="H18" sqref="H18"/>
    </sheetView>
  </sheetViews>
  <sheetFormatPr defaultRowHeight="15" x14ac:dyDescent="0.25"/>
  <cols>
    <col min="2" max="2" width="25" bestFit="1" customWidth="1"/>
    <col min="3" max="3" width="19.85546875" bestFit="1" customWidth="1"/>
    <col min="4" max="4" width="23.5703125" bestFit="1" customWidth="1"/>
    <col min="5" max="5" width="6.28515625" bestFit="1" customWidth="1"/>
  </cols>
  <sheetData>
    <row r="1" spans="1:5" x14ac:dyDescent="0.25">
      <c r="A1" s="43" t="s">
        <v>0</v>
      </c>
      <c r="B1" s="43" t="s">
        <v>4</v>
      </c>
      <c r="C1" s="43" t="s">
        <v>5</v>
      </c>
      <c r="D1" s="43" t="s">
        <v>6</v>
      </c>
      <c r="E1" s="43" t="s">
        <v>7</v>
      </c>
    </row>
    <row r="2" spans="1:5" x14ac:dyDescent="0.25">
      <c r="A2" s="25" t="str">
        <f>'Сведения о сотрудниках'!A2</f>
        <v>Федров</v>
      </c>
      <c r="B2" s="25">
        <v>15</v>
      </c>
      <c r="C2" s="25">
        <v>25</v>
      </c>
      <c r="D2" s="25">
        <v>15</v>
      </c>
      <c r="E2" s="25">
        <f t="shared" ref="E2:E11" si="0">SUM(B2:D2)</f>
        <v>55</v>
      </c>
    </row>
    <row r="3" spans="1:5" x14ac:dyDescent="0.25">
      <c r="A3" s="25" t="str">
        <f>'Сведения о сотрудниках'!A3</f>
        <v>Игоров</v>
      </c>
      <c r="B3" s="25">
        <v>2</v>
      </c>
      <c r="C3" s="25">
        <v>13</v>
      </c>
      <c r="D3" s="25">
        <v>51</v>
      </c>
      <c r="E3" s="25">
        <f t="shared" si="0"/>
        <v>66</v>
      </c>
    </row>
    <row r="4" spans="1:5" x14ac:dyDescent="0.25">
      <c r="A4" s="25" t="str">
        <f>'Сведения о сотрудниках'!A4</f>
        <v>Жукин</v>
      </c>
      <c r="B4" s="25">
        <v>64</v>
      </c>
      <c r="C4" s="25">
        <v>5</v>
      </c>
      <c r="D4" s="25">
        <v>12</v>
      </c>
      <c r="E4" s="25">
        <f t="shared" si="0"/>
        <v>81</v>
      </c>
    </row>
    <row r="5" spans="1:5" x14ac:dyDescent="0.25">
      <c r="A5" s="25" t="str">
        <f>'Сведения о сотрудниках'!A5</f>
        <v>Иванов</v>
      </c>
      <c r="B5" s="25">
        <v>31</v>
      </c>
      <c r="C5" s="25">
        <v>3</v>
      </c>
      <c r="D5" s="25">
        <v>31</v>
      </c>
      <c r="E5" s="25">
        <f t="shared" si="0"/>
        <v>65</v>
      </c>
    </row>
    <row r="6" spans="1:5" x14ac:dyDescent="0.25">
      <c r="A6" s="25" t="str">
        <f>'Сведения о сотрудниках'!A6</f>
        <v>Карпов</v>
      </c>
      <c r="B6" s="25">
        <v>46</v>
      </c>
      <c r="C6" s="25">
        <v>25</v>
      </c>
      <c r="D6" s="25">
        <v>21</v>
      </c>
      <c r="E6" s="25">
        <f t="shared" si="0"/>
        <v>92</v>
      </c>
    </row>
    <row r="7" spans="1:5" x14ac:dyDescent="0.25">
      <c r="A7" s="25" t="str">
        <f>'Сведения о сотрудниках'!A7</f>
        <v>Осетров</v>
      </c>
      <c r="B7" s="25">
        <v>14</v>
      </c>
      <c r="C7" s="25">
        <v>0</v>
      </c>
      <c r="D7" s="25">
        <v>12</v>
      </c>
      <c r="E7" s="25">
        <f>SUM(B7:D7)</f>
        <v>26</v>
      </c>
    </row>
    <row r="8" spans="1:5" x14ac:dyDescent="0.25">
      <c r="A8" s="25" t="str">
        <f>'Сведения о сотрудниках'!A8</f>
        <v>Крутов</v>
      </c>
      <c r="B8" s="25">
        <v>4</v>
      </c>
      <c r="C8" s="25">
        <v>4</v>
      </c>
      <c r="D8" s="25">
        <v>4</v>
      </c>
      <c r="E8" s="25">
        <f t="shared" si="0"/>
        <v>12</v>
      </c>
    </row>
    <row r="9" spans="1:5" x14ac:dyDescent="0.25">
      <c r="A9" s="25" t="str">
        <f>'Сведения о сотрудниках'!A9</f>
        <v>Воробьев</v>
      </c>
      <c r="B9" s="25">
        <v>100</v>
      </c>
      <c r="C9" s="25">
        <v>100</v>
      </c>
      <c r="D9" s="25">
        <v>100</v>
      </c>
      <c r="E9" s="25">
        <f t="shared" si="0"/>
        <v>300</v>
      </c>
    </row>
    <row r="10" spans="1:5" x14ac:dyDescent="0.25">
      <c r="A10" s="25" t="str">
        <f>'Сведения о сотрудниках'!A10</f>
        <v>Угров</v>
      </c>
      <c r="B10" s="25">
        <v>16</v>
      </c>
      <c r="C10" s="25">
        <v>64</v>
      </c>
      <c r="D10" s="25">
        <v>1</v>
      </c>
      <c r="E10" s="25">
        <f t="shared" si="0"/>
        <v>81</v>
      </c>
    </row>
    <row r="11" spans="1:5" x14ac:dyDescent="0.25">
      <c r="A11" s="25" t="str">
        <f>'Сведения о сотрудниках'!A11</f>
        <v>Ершов</v>
      </c>
      <c r="B11" s="25">
        <v>15</v>
      </c>
      <c r="C11" s="25">
        <v>2</v>
      </c>
      <c r="D11" s="25">
        <v>15</v>
      </c>
      <c r="E11" s="25">
        <f t="shared" si="0"/>
        <v>32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D218C-598A-44C9-974E-72109120DD10}">
  <sheetPr codeName="Лист3"/>
  <dimension ref="A1:E11"/>
  <sheetViews>
    <sheetView topLeftCell="A7" workbookViewId="0">
      <selection activeCell="D11" sqref="D11"/>
    </sheetView>
  </sheetViews>
  <sheetFormatPr defaultRowHeight="15" x14ac:dyDescent="0.25"/>
  <cols>
    <col min="2" max="2" width="11.140625" bestFit="1" customWidth="1"/>
    <col min="3" max="3" width="7.42578125" bestFit="1" customWidth="1"/>
    <col min="4" max="4" width="8.85546875" bestFit="1" customWidth="1"/>
    <col min="5" max="5" width="6.28515625" bestFit="1" customWidth="1"/>
  </cols>
  <sheetData>
    <row r="1" spans="1:5" x14ac:dyDescent="0.25">
      <c r="A1" s="43" t="s">
        <v>0</v>
      </c>
      <c r="B1" s="43" t="s">
        <v>8</v>
      </c>
      <c r="C1" s="43" t="s">
        <v>9</v>
      </c>
      <c r="D1" s="43" t="s">
        <v>10</v>
      </c>
      <c r="E1" s="43" t="s">
        <v>7</v>
      </c>
    </row>
    <row r="2" spans="1:5" x14ac:dyDescent="0.25">
      <c r="A2" s="25" t="str">
        <f>'Премиальные баллы'!A2</f>
        <v>Федров</v>
      </c>
      <c r="B2" s="25">
        <v>11</v>
      </c>
      <c r="C2" s="25">
        <v>2</v>
      </c>
      <c r="D2" s="25">
        <v>3</v>
      </c>
      <c r="E2" s="25">
        <f t="shared" ref="E2:E10" si="0">SUM(B2:D2)</f>
        <v>16</v>
      </c>
    </row>
    <row r="3" spans="1:5" x14ac:dyDescent="0.25">
      <c r="A3" s="25" t="str">
        <f>'Премиальные баллы'!A3</f>
        <v>Игоров</v>
      </c>
      <c r="B3" s="25">
        <v>6</v>
      </c>
      <c r="C3" s="25">
        <v>5</v>
      </c>
      <c r="D3" s="25">
        <v>4</v>
      </c>
      <c r="E3" s="25">
        <f t="shared" si="0"/>
        <v>15</v>
      </c>
    </row>
    <row r="4" spans="1:5" x14ac:dyDescent="0.25">
      <c r="A4" s="25" t="str">
        <f>'Премиальные баллы'!A4</f>
        <v>Жукин</v>
      </c>
      <c r="B4" s="25">
        <v>1</v>
      </c>
      <c r="C4" s="25">
        <v>15</v>
      </c>
      <c r="D4" s="25">
        <v>2</v>
      </c>
      <c r="E4" s="25">
        <f t="shared" si="0"/>
        <v>18</v>
      </c>
    </row>
    <row r="5" spans="1:5" x14ac:dyDescent="0.25">
      <c r="A5" s="25" t="str">
        <f>'Премиальные баллы'!A5</f>
        <v>Иванов</v>
      </c>
      <c r="B5" s="25">
        <v>6</v>
      </c>
      <c r="C5" s="25">
        <v>5</v>
      </c>
      <c r="D5" s="25">
        <v>4</v>
      </c>
      <c r="E5" s="25">
        <f t="shared" si="0"/>
        <v>15</v>
      </c>
    </row>
    <row r="6" spans="1:5" x14ac:dyDescent="0.25">
      <c r="A6" s="25" t="str">
        <f>'Премиальные баллы'!A6</f>
        <v>Карпов</v>
      </c>
      <c r="B6" s="25">
        <v>1</v>
      </c>
      <c r="C6" s="25">
        <v>2</v>
      </c>
      <c r="D6" s="25">
        <v>6</v>
      </c>
      <c r="E6" s="25">
        <f t="shared" si="0"/>
        <v>9</v>
      </c>
    </row>
    <row r="7" spans="1:5" x14ac:dyDescent="0.25">
      <c r="A7" s="25" t="str">
        <f>'Премиальные баллы'!A7</f>
        <v>Осетров</v>
      </c>
      <c r="B7" s="25">
        <v>3</v>
      </c>
      <c r="C7" s="25">
        <v>4</v>
      </c>
      <c r="D7" s="25">
        <v>5</v>
      </c>
      <c r="E7" s="25">
        <f t="shared" si="0"/>
        <v>12</v>
      </c>
    </row>
    <row r="8" spans="1:5" x14ac:dyDescent="0.25">
      <c r="A8" s="25" t="str">
        <f>'Премиальные баллы'!A8</f>
        <v>Крутов</v>
      </c>
      <c r="B8" s="25">
        <v>0</v>
      </c>
      <c r="C8" s="25">
        <v>0</v>
      </c>
      <c r="D8" s="25">
        <v>1</v>
      </c>
      <c r="E8" s="25">
        <f t="shared" si="0"/>
        <v>1</v>
      </c>
    </row>
    <row r="9" spans="1:5" x14ac:dyDescent="0.25">
      <c r="A9" s="25" t="str">
        <f>'Премиальные баллы'!A9</f>
        <v>Воробьев</v>
      </c>
      <c r="B9" s="25">
        <v>0</v>
      </c>
      <c r="C9" s="25">
        <v>0</v>
      </c>
      <c r="D9" s="25">
        <v>0</v>
      </c>
      <c r="E9" s="25">
        <f t="shared" si="0"/>
        <v>0</v>
      </c>
    </row>
    <row r="10" spans="1:5" x14ac:dyDescent="0.25">
      <c r="A10" s="25" t="str">
        <f>'Премиальные баллы'!A10</f>
        <v>Угров</v>
      </c>
      <c r="B10" s="25">
        <v>25</v>
      </c>
      <c r="C10" s="25">
        <v>1</v>
      </c>
      <c r="D10" s="25">
        <v>2</v>
      </c>
      <c r="E10" s="25">
        <f t="shared" si="0"/>
        <v>28</v>
      </c>
    </row>
    <row r="11" spans="1:5" x14ac:dyDescent="0.25">
      <c r="A11" s="25" t="str">
        <f>'Премиальные баллы'!A11</f>
        <v>Ершов</v>
      </c>
      <c r="B11" s="25">
        <v>4</v>
      </c>
      <c r="C11" s="25">
        <v>5</v>
      </c>
      <c r="D11" s="25">
        <v>6</v>
      </c>
      <c r="E11" s="25">
        <f>SUM(B11:D11)</f>
        <v>15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12E00-6BEB-4679-B477-746B69C71944}">
  <sheetPr codeName="Лист4"/>
  <dimension ref="A1:G18"/>
  <sheetViews>
    <sheetView workbookViewId="0">
      <selection activeCell="G41" sqref="G41"/>
    </sheetView>
  </sheetViews>
  <sheetFormatPr defaultRowHeight="15" x14ac:dyDescent="0.25"/>
  <cols>
    <col min="1" max="1" width="9.28515625" customWidth="1"/>
    <col min="2" max="3" width="19.28515625" customWidth="1"/>
    <col min="4" max="4" width="15.85546875" bestFit="1" customWidth="1"/>
    <col min="5" max="5" width="18.28515625" customWidth="1"/>
    <col min="6" max="6" width="19.140625" customWidth="1"/>
    <col min="7" max="7" width="17.85546875" customWidth="1"/>
  </cols>
  <sheetData>
    <row r="1" spans="1:7" x14ac:dyDescent="0.25">
      <c r="A1" s="54" t="s">
        <v>0</v>
      </c>
      <c r="B1" s="55" t="s">
        <v>12</v>
      </c>
      <c r="C1" s="55" t="s">
        <v>16</v>
      </c>
      <c r="D1" s="56" t="s">
        <v>17</v>
      </c>
      <c r="E1" s="29" t="s">
        <v>18</v>
      </c>
      <c r="F1" s="39"/>
    </row>
    <row r="2" spans="1:7" x14ac:dyDescent="0.25">
      <c r="A2" s="57"/>
      <c r="B2" s="58"/>
      <c r="C2" s="58"/>
      <c r="D2" s="59"/>
      <c r="E2" s="41" t="s">
        <v>19</v>
      </c>
      <c r="F2" s="40" t="s">
        <v>20</v>
      </c>
    </row>
    <row r="3" spans="1:7" x14ac:dyDescent="0.25">
      <c r="A3" s="30" t="str">
        <f xml:space="preserve"> 'Премиальные баллы'!A3</f>
        <v>Игоров</v>
      </c>
      <c r="B3" s="32">
        <f>'Сведения о сотрудниках'!E2 * $C$15 * ('Сведения о сотрудниках'!D2/$C$14)</f>
        <v>3333.3333333333335</v>
      </c>
      <c r="C3" s="32">
        <f>'Премиальные баллы'!E2 * $C$16</f>
        <v>5500</v>
      </c>
      <c r="D3" s="33">
        <f>-'Штрафные баллы'!E2 *$C$17</f>
        <v>-1600</v>
      </c>
      <c r="E3" s="34">
        <f>SUM(B3:D3)</f>
        <v>7233.3333333333339</v>
      </c>
      <c r="F3" s="34">
        <f t="shared" ref="F3:F11" si="0">E3/$E$12 * $C$18</f>
        <v>1289.6196513470682</v>
      </c>
    </row>
    <row r="4" spans="1:7" x14ac:dyDescent="0.25">
      <c r="A4" s="35" t="str">
        <f xml:space="preserve"> 'Премиальные баллы'!A4</f>
        <v>Жукин</v>
      </c>
      <c r="B4" s="36">
        <f>'Сведения о сотрудниках'!E3 * $C$15 * ('Сведения о сотрудниках'!D3/$C$14)</f>
        <v>6666.6666666666661</v>
      </c>
      <c r="C4" s="36">
        <f>'Премиальные баллы'!E3 * $C$16</f>
        <v>6600</v>
      </c>
      <c r="D4" s="25">
        <f>-'Штрафные баллы'!E3 *$C$17</f>
        <v>-1500</v>
      </c>
      <c r="E4" s="37">
        <f t="shared" ref="E4:E11" si="1">SUM(B4:D4)</f>
        <v>11766.666666666666</v>
      </c>
      <c r="F4" s="37">
        <f t="shared" si="0"/>
        <v>2097.8605388272581</v>
      </c>
    </row>
    <row r="5" spans="1:7" x14ac:dyDescent="0.25">
      <c r="A5" s="35" t="str">
        <f xml:space="preserve"> 'Премиальные баллы'!A5</f>
        <v>Иванов</v>
      </c>
      <c r="B5" s="36">
        <f>'Сведения о сотрудниках'!E4 * $C$15 * ('Сведения о сотрудниках'!D4/$C$14)</f>
        <v>1666.6666666666667</v>
      </c>
      <c r="C5" s="36">
        <f>'Премиальные баллы'!E4 * $C$16</f>
        <v>8100</v>
      </c>
      <c r="D5" s="25">
        <f>-'Штрафные баллы'!E4 *$C$17</f>
        <v>-1800</v>
      </c>
      <c r="E5" s="37">
        <f t="shared" si="1"/>
        <v>7966.6666666666661</v>
      </c>
      <c r="F5" s="37">
        <f t="shared" si="0"/>
        <v>1420.3645007923928</v>
      </c>
    </row>
    <row r="6" spans="1:7" x14ac:dyDescent="0.25">
      <c r="A6" s="35" t="str">
        <f xml:space="preserve"> 'Премиальные баллы'!A6</f>
        <v>Карпов</v>
      </c>
      <c r="B6" s="36">
        <f>'Сведения о сотрудниках'!E5 * $C$15 * ('Сведения о сотрудниках'!D5/$C$14)</f>
        <v>333.33333333333331</v>
      </c>
      <c r="C6" s="36">
        <f>'Премиальные баллы'!E5 * $C$16</f>
        <v>6500</v>
      </c>
      <c r="D6" s="25">
        <f>-'Штрафные баллы'!E5 *$C$17</f>
        <v>-1500</v>
      </c>
      <c r="E6" s="37">
        <f t="shared" si="1"/>
        <v>5333.333333333333</v>
      </c>
      <c r="F6" s="37">
        <f t="shared" si="0"/>
        <v>950.87163232963542</v>
      </c>
    </row>
    <row r="7" spans="1:7" x14ac:dyDescent="0.25">
      <c r="A7" s="35" t="str">
        <f xml:space="preserve"> 'Премиальные баллы'!A7</f>
        <v>Осетров</v>
      </c>
      <c r="B7" s="36">
        <f>'Сведения о сотрудниках'!E6 * $C$15 * ('Сведения о сотрудниках'!D6/$C$14)</f>
        <v>1944.4444444444446</v>
      </c>
      <c r="C7" s="36">
        <f>'Премиальные баллы'!E6 * $C$16</f>
        <v>9200</v>
      </c>
      <c r="D7" s="25">
        <f>-'Штрафные баллы'!E6 *$C$17</f>
        <v>-900</v>
      </c>
      <c r="E7" s="37">
        <f t="shared" si="1"/>
        <v>10244.444444444445</v>
      </c>
      <c r="F7" s="37">
        <f t="shared" si="0"/>
        <v>1826.4659270998416</v>
      </c>
    </row>
    <row r="8" spans="1:7" x14ac:dyDescent="0.25">
      <c r="A8" s="35" t="str">
        <f xml:space="preserve"> 'Премиальные баллы'!A8</f>
        <v>Крутов</v>
      </c>
      <c r="B8" s="36">
        <f>'Сведения о сотрудниках'!E7 * $C$15 * ('Сведения о сотрудниках'!D7/$C$14)</f>
        <v>8666.6666666666661</v>
      </c>
      <c r="C8" s="36">
        <f>'Премиальные баллы'!E7 * $C$16</f>
        <v>2600</v>
      </c>
      <c r="D8" s="25">
        <f>-'Штрафные баллы'!E7 *$C$17</f>
        <v>-1200</v>
      </c>
      <c r="E8" s="37">
        <f t="shared" si="1"/>
        <v>10066.666666666666</v>
      </c>
      <c r="F8" s="37">
        <f t="shared" si="0"/>
        <v>1794.7702060221868</v>
      </c>
    </row>
    <row r="9" spans="1:7" x14ac:dyDescent="0.25">
      <c r="A9" s="35" t="str">
        <f xml:space="preserve"> 'Премиальные баллы'!A9</f>
        <v>Воробьев</v>
      </c>
      <c r="B9" s="36">
        <f>'Сведения о сотрудниках'!E8 * $C$15 * ('Сведения о сотрудниках'!D8/$C$14)</f>
        <v>388.88888888888891</v>
      </c>
      <c r="C9" s="36">
        <f>'Премиальные баллы'!E8 * $C$16</f>
        <v>1200</v>
      </c>
      <c r="D9" s="25">
        <f>-'Штрафные баллы'!E8 *$C$17</f>
        <v>-100</v>
      </c>
      <c r="E9" s="37">
        <f t="shared" si="1"/>
        <v>1488.8888888888889</v>
      </c>
      <c r="F9" s="37">
        <f t="shared" si="0"/>
        <v>265.45166402535654</v>
      </c>
    </row>
    <row r="10" spans="1:7" x14ac:dyDescent="0.25">
      <c r="A10" s="35" t="str">
        <f xml:space="preserve"> 'Премиальные баллы'!A10</f>
        <v>Угров</v>
      </c>
      <c r="B10" s="36">
        <f>'Сведения о сотрудниках'!E9 * $C$15 * ('Сведения о сотрудниках'!D9/$C$14)</f>
        <v>22222.222222222223</v>
      </c>
      <c r="C10" s="36">
        <f>'Премиальные баллы'!E9 * $C$16</f>
        <v>30000</v>
      </c>
      <c r="D10" s="25">
        <f>-'Штрафные баллы'!E9 *$C$17</f>
        <v>0</v>
      </c>
      <c r="E10" s="37">
        <f t="shared" si="1"/>
        <v>52222.222222222219</v>
      </c>
      <c r="F10" s="37">
        <f t="shared" si="0"/>
        <v>9310.6180665610136</v>
      </c>
    </row>
    <row r="11" spans="1:7" x14ac:dyDescent="0.25">
      <c r="A11" s="35" t="str">
        <f xml:space="preserve"> 'Премиальные баллы'!A11</f>
        <v>Ершов</v>
      </c>
      <c r="B11" s="36">
        <f>'Сведения о сотрудниках'!E10 * $C$15 * ('Сведения о сотрудниках'!D10/$C$14)</f>
        <v>555.55555555555554</v>
      </c>
      <c r="C11" s="36">
        <f>'Премиальные баллы'!E10 * $C$16</f>
        <v>8100</v>
      </c>
      <c r="D11" s="25">
        <f>-'Штрафные баллы'!E10 *$C$17</f>
        <v>-2800</v>
      </c>
      <c r="E11" s="38">
        <f t="shared" si="1"/>
        <v>5855.5555555555547</v>
      </c>
      <c r="F11" s="38">
        <f t="shared" si="0"/>
        <v>1043.9778129952456</v>
      </c>
    </row>
    <row r="12" spans="1:7" x14ac:dyDescent="0.25">
      <c r="C12" s="3"/>
      <c r="D12" s="42" t="s">
        <v>7</v>
      </c>
      <c r="E12" s="45">
        <f>SUM(E3:E11)</f>
        <v>112177.77777777778</v>
      </c>
      <c r="F12" s="46">
        <f>SUM(F3:F11)</f>
        <v>20000</v>
      </c>
    </row>
    <row r="13" spans="1:7" x14ac:dyDescent="0.25">
      <c r="A13" s="6"/>
      <c r="B13" s="6"/>
      <c r="C13" s="6"/>
      <c r="D13" s="6"/>
      <c r="E13" s="6"/>
      <c r="F13" s="6"/>
      <c r="G13" s="2"/>
    </row>
    <row r="14" spans="1:7" x14ac:dyDescent="0.25">
      <c r="A14" s="16" t="s">
        <v>22</v>
      </c>
      <c r="B14" s="16"/>
      <c r="C14" s="25">
        <f>AVERAGE('Сведения о сотрудниках'!D2:D11)</f>
        <v>45000</v>
      </c>
      <c r="D14" s="1"/>
      <c r="E14" s="1"/>
      <c r="F14" s="1"/>
      <c r="G14" s="2"/>
    </row>
    <row r="15" spans="1:7" x14ac:dyDescent="0.25">
      <c r="A15" s="16" t="s">
        <v>21</v>
      </c>
      <c r="B15" s="16"/>
      <c r="C15" s="25">
        <v>500</v>
      </c>
      <c r="D15" s="1"/>
      <c r="E15" s="1"/>
      <c r="F15" s="1"/>
      <c r="G15" s="2"/>
    </row>
    <row r="16" spans="1:7" x14ac:dyDescent="0.25">
      <c r="A16" s="31" t="s">
        <v>13</v>
      </c>
      <c r="B16" s="31"/>
      <c r="C16" s="25">
        <v>100</v>
      </c>
    </row>
    <row r="17" spans="1:3" x14ac:dyDescent="0.25">
      <c r="A17" s="31" t="s">
        <v>14</v>
      </c>
      <c r="B17" s="31"/>
      <c r="C17" s="25">
        <v>100</v>
      </c>
    </row>
    <row r="18" spans="1:3" x14ac:dyDescent="0.25">
      <c r="A18" s="16" t="s">
        <v>15</v>
      </c>
      <c r="B18" s="16"/>
      <c r="C18" s="25">
        <v>20000</v>
      </c>
    </row>
  </sheetData>
  <mergeCells count="12">
    <mergeCell ref="E13:F13"/>
    <mergeCell ref="A15:B15"/>
    <mergeCell ref="A14:B14"/>
    <mergeCell ref="A17:B17"/>
    <mergeCell ref="A16:B16"/>
    <mergeCell ref="A18:B18"/>
    <mergeCell ref="A13:D13"/>
    <mergeCell ref="E1:F1"/>
    <mergeCell ref="D1:D2"/>
    <mergeCell ref="C1:C2"/>
    <mergeCell ref="B1:B2"/>
    <mergeCell ref="A1:A2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4FC50-2DA5-4035-AB68-7D07F616348A}">
  <sheetPr codeName="Лист5"/>
  <dimension ref="A1:R14"/>
  <sheetViews>
    <sheetView workbookViewId="0">
      <selection activeCell="G41" sqref="G41"/>
    </sheetView>
  </sheetViews>
  <sheetFormatPr defaultRowHeight="15" x14ac:dyDescent="0.25"/>
  <cols>
    <col min="1" max="1" width="25" bestFit="1" customWidth="1"/>
    <col min="2" max="2" width="22.42578125" bestFit="1" customWidth="1"/>
    <col min="3" max="3" width="23.5703125" bestFit="1" customWidth="1"/>
    <col min="4" max="4" width="10.28515625" bestFit="1" customWidth="1"/>
    <col min="5" max="5" width="15.140625" bestFit="1" customWidth="1"/>
    <col min="6" max="6" width="25" bestFit="1" customWidth="1"/>
    <col min="7" max="7" width="19.85546875" bestFit="1" customWidth="1"/>
    <col min="8" max="8" width="23.5703125" bestFit="1" customWidth="1"/>
    <col min="9" max="9" width="6.28515625" bestFit="1" customWidth="1"/>
    <col min="14" max="14" width="15.140625" bestFit="1" customWidth="1"/>
    <col min="15" max="15" width="18.42578125" bestFit="1" customWidth="1"/>
    <col min="16" max="16" width="15.85546875" bestFit="1" customWidth="1"/>
    <col min="17" max="17" width="10.28515625" bestFit="1" customWidth="1"/>
    <col min="18" max="18" width="15.140625" bestFit="1" customWidth="1"/>
  </cols>
  <sheetData>
    <row r="1" spans="1:18" ht="15.75" thickBot="1" x14ac:dyDescent="0.3">
      <c r="A1" s="7" t="s">
        <v>23</v>
      </c>
      <c r="B1" s="61" t="s">
        <v>40</v>
      </c>
    </row>
    <row r="2" spans="1:18" ht="15.75" thickBot="1" x14ac:dyDescent="0.3"/>
    <row r="3" spans="1:18" x14ac:dyDescent="0.25">
      <c r="A3" s="8" t="s">
        <v>1</v>
      </c>
      <c r="B3" s="9" t="s">
        <v>11</v>
      </c>
      <c r="C3" s="9" t="s">
        <v>2</v>
      </c>
      <c r="D3" s="62" t="s">
        <v>3</v>
      </c>
      <c r="E3" s="63"/>
      <c r="N3" s="5"/>
      <c r="O3" s="5"/>
      <c r="P3" s="5"/>
      <c r="Q3" s="4"/>
      <c r="R3" s="1"/>
    </row>
    <row r="4" spans="1:18" x14ac:dyDescent="0.25">
      <c r="A4" s="10" t="str">
        <f>VLOOKUP('Поиск информации'!$B$1,'Сведения о сотрудниках'!$A$2:$E$11,COLUMN(A3)+1,FALSE)</f>
        <v>Юрист</v>
      </c>
      <c r="B4" s="10">
        <f ca="1">VLOOKUP('Поиск информации'!$B$1,'Сведения о сотрудниках'!$A$2:$E$11,COLUMN(B3)+1,FALSE)</f>
        <v>43446</v>
      </c>
      <c r="C4" s="10">
        <f>VLOOKUP('Поиск информации'!$B$1,'Сведения о сотрудниках'!$A$2:$E$11,COLUMN(C3)+1,FALSE)</f>
        <v>50000</v>
      </c>
      <c r="D4" s="26">
        <f>VLOOKUP('Поиск информации'!$B$1,'Сведения о сотрудниках'!$A$2:$E$11,COLUMN(D3)+1,FALSE)</f>
        <v>3</v>
      </c>
      <c r="E4" s="28"/>
    </row>
    <row r="5" spans="1:18" x14ac:dyDescent="0.25">
      <c r="A5" s="26"/>
      <c r="B5" s="27"/>
      <c r="C5" s="27"/>
      <c r="D5" s="27"/>
      <c r="E5" s="28"/>
    </row>
    <row r="6" spans="1:18" x14ac:dyDescent="0.25">
      <c r="A6" s="14" t="s">
        <v>4</v>
      </c>
      <c r="B6" s="15" t="s">
        <v>5</v>
      </c>
      <c r="C6" s="15" t="s">
        <v>6</v>
      </c>
      <c r="D6" s="16" t="s">
        <v>7</v>
      </c>
      <c r="E6" s="17"/>
    </row>
    <row r="7" spans="1:18" x14ac:dyDescent="0.25">
      <c r="A7" s="10">
        <f>VLOOKUP($B$1,'Премиальные баллы'!$A$2:$E$11,COLUMN(A3)+1,FALSE)</f>
        <v>64</v>
      </c>
      <c r="B7" s="11">
        <f>VLOOKUP($B$1,'Премиальные баллы'!$A$2:$E$11,COLUMN(B3)+1,FALSE)</f>
        <v>5</v>
      </c>
      <c r="C7" s="11">
        <f>VLOOKUP($B$1,'Премиальные баллы'!$A$2:$E$11,COLUMN(C3)+1,FALSE)</f>
        <v>12</v>
      </c>
      <c r="D7" s="12">
        <f>VLOOKUP($B$1,'Премиальные баллы'!$A$2:$E$11,COLUMN(D3)+1,FALSE)</f>
        <v>81</v>
      </c>
      <c r="E7" s="13"/>
    </row>
    <row r="8" spans="1:18" x14ac:dyDescent="0.25">
      <c r="A8" s="26"/>
      <c r="B8" s="27"/>
      <c r="C8" s="27"/>
      <c r="D8" s="27"/>
      <c r="E8" s="28"/>
    </row>
    <row r="9" spans="1:18" x14ac:dyDescent="0.25">
      <c r="A9" s="14" t="s">
        <v>8</v>
      </c>
      <c r="B9" s="15" t="s">
        <v>9</v>
      </c>
      <c r="C9" s="15" t="s">
        <v>10</v>
      </c>
      <c r="D9" s="16" t="s">
        <v>7</v>
      </c>
      <c r="E9" s="17"/>
    </row>
    <row r="10" spans="1:18" x14ac:dyDescent="0.25">
      <c r="A10" s="10">
        <f>VLOOKUP($B$1,'Штрафные баллы'!$A$2:$E$11,COLUMN(A3)+1,FALSE)</f>
        <v>1</v>
      </c>
      <c r="B10" s="11">
        <f>VLOOKUP($B$1,'Штрафные баллы'!$A$2:$E$11,COLUMN(B3)+1,FALSE)</f>
        <v>15</v>
      </c>
      <c r="C10" s="11">
        <f>VLOOKUP($B$1,'Штрафные баллы'!$A$2:$E$11,COLUMN(C3)+1,FALSE)</f>
        <v>2</v>
      </c>
      <c r="D10" s="12">
        <f>VLOOKUP($B$1,'Штрафные баллы'!$A$2:$E$11,COLUMN(D3)+1,FALSE)</f>
        <v>18</v>
      </c>
      <c r="E10" s="13"/>
    </row>
    <row r="11" spans="1:18" x14ac:dyDescent="0.25">
      <c r="A11" s="26"/>
      <c r="B11" s="27"/>
      <c r="C11" s="27"/>
      <c r="D11" s="27"/>
      <c r="E11" s="28"/>
    </row>
    <row r="12" spans="1:18" x14ac:dyDescent="0.25">
      <c r="A12" s="18" t="s">
        <v>12</v>
      </c>
      <c r="B12" s="19" t="s">
        <v>16</v>
      </c>
      <c r="C12" s="19" t="s">
        <v>17</v>
      </c>
      <c r="D12" s="16" t="s">
        <v>18</v>
      </c>
      <c r="E12" s="17"/>
    </row>
    <row r="13" spans="1:18" x14ac:dyDescent="0.25">
      <c r="A13" s="18"/>
      <c r="B13" s="19"/>
      <c r="C13" s="19"/>
      <c r="D13" s="20" t="s">
        <v>19</v>
      </c>
      <c r="E13" s="21" t="s">
        <v>20</v>
      </c>
    </row>
    <row r="14" spans="1:18" ht="15.75" thickBot="1" x14ac:dyDescent="0.3">
      <c r="A14" s="22">
        <f>VLOOKUP($B$1,'Расчёт премии'!$A$2:$E$11,COLUMN(A3)+1,FALSE)</f>
        <v>6666.6666666666661</v>
      </c>
      <c r="B14" s="23">
        <f>VLOOKUP($B$1,'Расчёт премии'!$A$2:$E$11,COLUMN(B3)+1,FALSE)</f>
        <v>6600</v>
      </c>
      <c r="C14" s="23">
        <f>VLOOKUP($B$1,'Расчёт премии'!$A$2:$E$11,COLUMN(C3)+1,FALSE)</f>
        <v>-1500</v>
      </c>
      <c r="D14" s="23">
        <f>VLOOKUP($B$1,'Расчёт премии'!$A$2:$E$11,COLUMN(D3)+1,FALSE)</f>
        <v>11766.666666666666</v>
      </c>
      <c r="E14" s="24">
        <f>VLOOKUP($B$1,'Расчёт премии'!$A$2:$F$11,COLUMN(E3)+1,FALSE)</f>
        <v>2097.8605388272581</v>
      </c>
    </row>
  </sheetData>
  <mergeCells count="13">
    <mergeCell ref="A12:A13"/>
    <mergeCell ref="B12:B13"/>
    <mergeCell ref="C12:C13"/>
    <mergeCell ref="D12:E12"/>
    <mergeCell ref="A11:E11"/>
    <mergeCell ref="A8:E8"/>
    <mergeCell ref="A5:E5"/>
    <mergeCell ref="D6:E6"/>
    <mergeCell ref="D3:E3"/>
    <mergeCell ref="D4:E4"/>
    <mergeCell ref="D7:E7"/>
    <mergeCell ref="D10:E10"/>
    <mergeCell ref="D9:E9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95854-083D-41EA-B6A5-C96F3DC6AA06}">
  <sheetPr codeName="Лист6"/>
  <dimension ref="B1:H4"/>
  <sheetViews>
    <sheetView workbookViewId="0">
      <selection activeCell="K10" sqref="K10"/>
    </sheetView>
  </sheetViews>
  <sheetFormatPr defaultRowHeight="15" x14ac:dyDescent="0.25"/>
  <cols>
    <col min="2" max="2" width="9.140625" style="47"/>
    <col min="3" max="3" width="14.5703125" style="47" customWidth="1"/>
    <col min="4" max="6" width="9.140625" style="47"/>
    <col min="7" max="7" width="11.140625" style="47" customWidth="1"/>
    <col min="8" max="8" width="9.140625" style="47"/>
  </cols>
  <sheetData>
    <row r="1" spans="2:8" s="2" customFormat="1" x14ac:dyDescent="0.25">
      <c r="B1" s="47"/>
      <c r="C1" s="47"/>
      <c r="D1" s="47"/>
      <c r="E1" s="47"/>
      <c r="F1" s="47"/>
      <c r="G1" s="47"/>
      <c r="H1" s="47"/>
    </row>
    <row r="2" spans="2:8" x14ac:dyDescent="0.25">
      <c r="B2" s="48" t="s">
        <v>26</v>
      </c>
      <c r="C2" s="49"/>
      <c r="D2" s="50"/>
      <c r="F2" s="48" t="s">
        <v>27</v>
      </c>
      <c r="G2" s="49"/>
      <c r="H2" s="50"/>
    </row>
    <row r="3" spans="2:8" x14ac:dyDescent="0.25">
      <c r="B3" s="51" t="s">
        <v>0</v>
      </c>
      <c r="C3" s="52" t="s">
        <v>1</v>
      </c>
      <c r="D3" s="53" t="s">
        <v>24</v>
      </c>
      <c r="F3" s="51" t="s">
        <v>25</v>
      </c>
      <c r="G3" s="52" t="s">
        <v>1</v>
      </c>
      <c r="H3" s="53" t="s">
        <v>24</v>
      </c>
    </row>
    <row r="4" spans="2:8" x14ac:dyDescent="0.25">
      <c r="B4" s="47" t="s">
        <v>45</v>
      </c>
      <c r="C4" s="47" t="s">
        <v>35</v>
      </c>
      <c r="D4" s="47">
        <v>300</v>
      </c>
      <c r="F4" s="47" t="s">
        <v>47</v>
      </c>
      <c r="G4" s="47" t="s">
        <v>36</v>
      </c>
      <c r="H4" s="47">
        <v>28</v>
      </c>
    </row>
  </sheetData>
  <mergeCells count="2">
    <mergeCell ref="B2:D2"/>
    <mergeCell ref="F2:H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Сведения о сотрудниках</vt:lpstr>
      <vt:lpstr>Премиальные баллы</vt:lpstr>
      <vt:lpstr>Штрафные баллы</vt:lpstr>
      <vt:lpstr>Расчёт премии</vt:lpstr>
      <vt:lpstr>Поиск информации</vt:lpstr>
      <vt:lpstr>Генерация Отчета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Vlad</dc:creator>
  <cp:lastModifiedBy>Vlad</cp:lastModifiedBy>
  <dcterms:created xsi:type="dcterms:W3CDTF">2022-10-23T01:11:39Z</dcterms:created>
  <dcterms:modified xsi:type="dcterms:W3CDTF">2022-10-24T06:14:18Z</dcterms:modified>
</cp:coreProperties>
</file>